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AFFFD42-5879-433A-9FBA-133EDF96FCF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見積書" sheetId="1" r:id="rId1"/>
  </sheets>
  <definedNames>
    <definedName name="_xlnm.Print_Area" localSheetId="0">見積書!$A$1:$Q$41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9" i="1" l="1"/>
  <c r="O19" i="1" s="1"/>
  <c r="L20" i="1"/>
  <c r="O20" i="1" s="1"/>
  <c r="L21" i="1"/>
  <c r="O21" i="1" s="1"/>
  <c r="L22" i="1"/>
  <c r="O22" i="1" s="1"/>
  <c r="L23" i="1"/>
  <c r="O23" i="1" s="1"/>
  <c r="L24" i="1"/>
  <c r="L25" i="1"/>
  <c r="O25" i="1" s="1"/>
  <c r="L26" i="1"/>
  <c r="O26" i="1" s="1"/>
  <c r="L27" i="1"/>
  <c r="L28" i="1"/>
  <c r="O28" i="1" s="1"/>
  <c r="L29" i="1"/>
  <c r="O29" i="1" s="1"/>
  <c r="L30" i="1"/>
  <c r="L31" i="1"/>
  <c r="L32" i="1"/>
  <c r="L33" i="1"/>
  <c r="L18" i="1"/>
  <c r="O18" i="1" s="1"/>
  <c r="O30" i="1"/>
  <c r="O27" i="1"/>
  <c r="O33" i="1"/>
  <c r="O32" i="1"/>
  <c r="O31" i="1"/>
  <c r="O24" i="1"/>
  <c r="L34" i="1" l="1"/>
  <c r="L35" i="1" s="1"/>
  <c r="L36" i="1" s="1"/>
  <c r="D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15" authorId="0" shapeId="0" xr:uid="{00000000-0006-0000-0000-000001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数式が入っています。</t>
        </r>
      </text>
    </comment>
    <comment ref="O18" authorId="0" shapeId="0" xr:uid="{00000000-0006-0000-0000-000002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19" authorId="0" shapeId="0" xr:uid="{22AB205E-BADD-49BB-9832-AC48A678D2BC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0" authorId="0" shapeId="0" xr:uid="{00000000-0006-0000-0000-000004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1" authorId="0" shapeId="0" xr:uid="{00000000-0006-0000-0000-000005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2" authorId="0" shapeId="0" xr:uid="{00000000-0006-0000-0000-000006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3" authorId="0" shapeId="0" xr:uid="{00000000-0006-0000-0000-000007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4" authorId="0" shapeId="0" xr:uid="{00000000-0006-0000-0000-000008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5" authorId="0" shapeId="0" xr:uid="{00000000-0006-0000-0000-000009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6" authorId="0" shapeId="0" xr:uid="{00000000-0006-0000-0000-00000A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7" authorId="0" shapeId="0" xr:uid="{801FCE93-F090-4900-91D6-B47982B5B9AD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8" authorId="0" shapeId="0" xr:uid="{A8516E31-975C-4C39-97F9-6B448DF66F21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9" authorId="0" shapeId="0" xr:uid="{A750BF29-6B47-44B9-9400-324C614C2824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30" authorId="0" shapeId="0" xr:uid="{5793C277-077A-477E-ACFC-51A2C35A2083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31" authorId="0" shapeId="0" xr:uid="{00000000-0006-0000-0000-00000B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32" authorId="0" shapeId="0" xr:uid="{00000000-0006-0000-0000-00000C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33" authorId="0" shapeId="0" xr:uid="{00000000-0006-0000-0000-00000D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34" authorId="0" shapeId="0" xr:uid="{00000000-0006-0000-0000-00000E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35" authorId="0" shapeId="0" xr:uid="{00000000-0006-0000-0000-00000F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36" authorId="0" shapeId="0" xr:uid="{00000000-0006-0000-0000-000010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</commentList>
</comments>
</file>

<file path=xl/sharedStrings.xml><?xml version="1.0" encoding="utf-8"?>
<sst xmlns="http://schemas.openxmlformats.org/spreadsheetml/2006/main" count="50" uniqueCount="48">
  <si>
    <t>御中</t>
    <rPh sb="0" eb="2">
      <t>オンチュウ</t>
    </rPh>
    <phoneticPr fontId="3"/>
  </si>
  <si>
    <t>FAX：</t>
    <phoneticPr fontId="3"/>
  </si>
  <si>
    <t>E-Mail：</t>
    <phoneticPr fontId="3"/>
  </si>
  <si>
    <t>担当：</t>
    <rPh sb="0" eb="2">
      <t>タントウ</t>
    </rPh>
    <phoneticPr fontId="3"/>
  </si>
  <si>
    <t>合計金額</t>
    <rPh sb="0" eb="2">
      <t>ゴウケイ</t>
    </rPh>
    <rPh sb="2" eb="4">
      <t>キンガク</t>
    </rPh>
    <phoneticPr fontId="3"/>
  </si>
  <si>
    <t>（税込）</t>
    <rPh sb="1" eb="3">
      <t>ゼイコミ</t>
    </rPh>
    <phoneticPr fontId="3"/>
  </si>
  <si>
    <t>No.</t>
    <phoneticPr fontId="3"/>
  </si>
  <si>
    <t>金額</t>
    <rPh sb="0" eb="2">
      <t>キンガク</t>
    </rPh>
    <phoneticPr fontId="3"/>
  </si>
  <si>
    <t>単価</t>
    <rPh sb="0" eb="2">
      <t>タンカ</t>
    </rPh>
    <phoneticPr fontId="3"/>
  </si>
  <si>
    <t>式</t>
    <rPh sb="0" eb="1">
      <t>シキ</t>
    </rPh>
    <phoneticPr fontId="3"/>
  </si>
  <si>
    <t>個</t>
    <rPh sb="0" eb="1">
      <t>コ</t>
    </rPh>
    <phoneticPr fontId="3"/>
  </si>
  <si>
    <t>時間</t>
    <rPh sb="0" eb="2">
      <t>ジカン</t>
    </rPh>
    <phoneticPr fontId="3"/>
  </si>
  <si>
    <t>日</t>
    <rPh sb="0" eb="1">
      <t>ニチ</t>
    </rPh>
    <phoneticPr fontId="3"/>
  </si>
  <si>
    <t>ヶ月</t>
    <rPh sb="1" eb="2">
      <t>ゲツ</t>
    </rPh>
    <phoneticPr fontId="3"/>
  </si>
  <si>
    <t>数量</t>
    <rPh sb="0" eb="2">
      <t>スウリョウ</t>
    </rPh>
    <phoneticPr fontId="3"/>
  </si>
  <si>
    <t>件名：</t>
    <rPh sb="0" eb="2">
      <t>ケンメイ</t>
    </rPh>
    <phoneticPr fontId="3"/>
  </si>
  <si>
    <t>小計</t>
    <rPh sb="0" eb="2">
      <t>ショウケイ</t>
    </rPh>
    <phoneticPr fontId="3"/>
  </si>
  <si>
    <t>合計</t>
    <rPh sb="0" eb="2">
      <t>ゴウケイ</t>
    </rPh>
    <phoneticPr fontId="3"/>
  </si>
  <si>
    <t>備考</t>
    <rPh sb="0" eb="2">
      <t>ビコウ</t>
    </rPh>
    <phoneticPr fontId="3"/>
  </si>
  <si>
    <t>摘要</t>
    <rPh sb="0" eb="2">
      <t>テキヨウ</t>
    </rPh>
    <phoneticPr fontId="3"/>
  </si>
  <si>
    <t>納期：</t>
    <rPh sb="0" eb="2">
      <t>ノウキ</t>
    </rPh>
    <phoneticPr fontId="3"/>
  </si>
  <si>
    <t>支払条件：</t>
    <rPh sb="0" eb="4">
      <t>シハライジョウケン</t>
    </rPh>
    <phoneticPr fontId="3"/>
  </si>
  <si>
    <t>有効期限：</t>
    <rPh sb="0" eb="4">
      <t>ユウコウキゲン</t>
    </rPh>
    <phoneticPr fontId="3"/>
  </si>
  <si>
    <t>〒906-0012</t>
    <phoneticPr fontId="3"/>
  </si>
  <si>
    <t>宮古島市平良字西里231</t>
    <rPh sb="0" eb="3">
      <t>ミヤコジマ</t>
    </rPh>
    <rPh sb="3" eb="4">
      <t>シ</t>
    </rPh>
    <rPh sb="4" eb="6">
      <t>ヒララ</t>
    </rPh>
    <rPh sb="6" eb="7">
      <t>アザ</t>
    </rPh>
    <rPh sb="7" eb="9">
      <t>ニシザト</t>
    </rPh>
    <phoneticPr fontId="3"/>
  </si>
  <si>
    <t>　　　　　　　TEL：</t>
    <phoneticPr fontId="3"/>
  </si>
  <si>
    <t>0980-75-3235</t>
    <phoneticPr fontId="3"/>
  </si>
  <si>
    <t>shinya358@hb.tp1.jp</t>
    <phoneticPr fontId="3"/>
  </si>
  <si>
    <t>平戸　新也</t>
    <rPh sb="0" eb="2">
      <t>ヒラド</t>
    </rPh>
    <rPh sb="3" eb="5">
      <t>シンヤ</t>
    </rPh>
    <phoneticPr fontId="3"/>
  </si>
  <si>
    <t>株式会社　新家　</t>
    <rPh sb="0" eb="4">
      <t>カブシキガイシャ</t>
    </rPh>
    <rPh sb="5" eb="7">
      <t>シンヤ</t>
    </rPh>
    <phoneticPr fontId="3"/>
  </si>
  <si>
    <t>請求書</t>
    <rPh sb="0" eb="3">
      <t>セイキュウショ</t>
    </rPh>
    <phoneticPr fontId="3"/>
  </si>
  <si>
    <t>琉球銀行　宮古支店　普通　７７２６０３</t>
  </si>
  <si>
    <t>ヵ)ｼﾝﾔ ﾀﾞｲﾋｮｳﾄﾘｼﾏﾘﾔｸ ﾋﾗﾄﾞｼﾝﾔ</t>
  </si>
  <si>
    <t>請求書作成日</t>
  </si>
  <si>
    <t>島の駅みやこ</t>
    <rPh sb="0" eb="1">
      <t>シマ</t>
    </rPh>
    <rPh sb="2" eb="3">
      <t>エキ</t>
    </rPh>
    <phoneticPr fontId="3"/>
  </si>
  <si>
    <t>登録番号　T7-3600-0101-3966</t>
    <rPh sb="0" eb="22">
      <t>トウロク</t>
    </rPh>
    <phoneticPr fontId="3"/>
  </si>
  <si>
    <t>消費税8％</t>
    <rPh sb="0" eb="3">
      <t>ショウヒゼイ</t>
    </rPh>
    <phoneticPr fontId="3"/>
  </si>
  <si>
    <t>ツナプレーン</t>
    <phoneticPr fontId="13"/>
  </si>
  <si>
    <t>ツナおかず</t>
    <phoneticPr fontId="13"/>
  </si>
  <si>
    <t>ツナラー油</t>
    <rPh sb="4" eb="5">
      <t>ユ</t>
    </rPh>
    <phoneticPr fontId="13"/>
  </si>
  <si>
    <t>ツナ味噌</t>
    <rPh sb="2" eb="4">
      <t>ミソ</t>
    </rPh>
    <phoneticPr fontId="13"/>
  </si>
  <si>
    <t>ツナガリ</t>
    <phoneticPr fontId="13"/>
  </si>
  <si>
    <t>ツナカレー</t>
    <phoneticPr fontId="13"/>
  </si>
  <si>
    <t>ツナおかず</t>
  </si>
  <si>
    <t>ツナプレーン</t>
  </si>
  <si>
    <t>令和8年4月分味噌加工品代金</t>
    <phoneticPr fontId="3"/>
  </si>
  <si>
    <t>16日</t>
    <rPh sb="2" eb="3">
      <t>ニチ</t>
    </rPh>
    <phoneticPr fontId="3"/>
  </si>
  <si>
    <t>個</t>
    <rPh sb="0" eb="1">
      <t>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</si>
</sst>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14"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2"/>
      <charset val="128"/>
      <scheme val="minor"/>
    </font>
    <font>
      <sz val="12"/>
      <color theme="1"/>
      <name val="Yu Gothic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u/>
      <sz val="11"/>
      <color theme="10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9" fontId="5" fillId="0" borderId="0" xfId="1" applyFont="1">
      <alignment vertical="center"/>
    </xf>
    <xf numFmtId="0" fontId="0" fillId="0" borderId="0" xfId="0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6" fillId="0" borderId="1" xfId="0" applyFont="1" applyBorder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/>
    </xf>
    <xf numFmtId="0" fontId="12" fillId="0" borderId="0" xfId="4" applyProtection="1">
      <alignment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Protection="1">
      <alignment vertical="center"/>
      <protection locked="0"/>
    </xf>
    <xf numFmtId="0" fontId="0" fillId="0" borderId="1" xfId="0" applyBorder="1">
      <alignment vertical="center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2" fillId="0" borderId="4" xfId="0" applyFont="1" applyBorder="1" applyProtection="1">
      <alignment vertical="center"/>
      <protection locked="0"/>
    </xf>
    <xf numFmtId="0" fontId="6" fillId="0" borderId="4" xfId="0" applyFont="1" applyBorder="1" applyProtection="1">
      <alignment vertical="center"/>
      <protection locked="0"/>
    </xf>
    <xf numFmtId="6" fontId="7" fillId="0" borderId="1" xfId="3" applyFont="1" applyBorder="1" applyAlignment="1" applyProtection="1">
      <alignment horizontal="right" vertical="center"/>
    </xf>
    <xf numFmtId="6" fontId="6" fillId="0" borderId="1" xfId="3" applyFont="1" applyBorder="1" applyAlignment="1" applyProtection="1">
      <alignment horizontal="right" vertical="center"/>
    </xf>
    <xf numFmtId="0" fontId="6" fillId="0" borderId="0" xfId="0" applyFont="1" applyProtection="1">
      <alignment vertical="center"/>
      <protection locked="0"/>
    </xf>
    <xf numFmtId="38" fontId="6" fillId="0" borderId="1" xfId="2" applyFont="1" applyBorder="1" applyAlignment="1" applyProtection="1">
      <alignment horizontal="right" vertical="center"/>
    </xf>
    <xf numFmtId="0" fontId="6" fillId="0" borderId="2" xfId="0" applyFont="1" applyBorder="1" applyAlignment="1" applyProtection="1">
      <alignment horizontal="left" vertical="center"/>
      <protection locked="0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0" xfId="0" applyFont="1" applyAlignment="1" applyProtection="1">
      <alignment horizontal="right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6" fontId="11" fillId="0" borderId="5" xfId="3" applyFont="1" applyBorder="1" applyAlignment="1" applyProtection="1">
      <alignment horizontal="center" vertical="center"/>
    </xf>
    <xf numFmtId="177" fontId="6" fillId="0" borderId="5" xfId="2" applyNumberFormat="1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12" fillId="0" borderId="0" xfId="4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" fillId="0" borderId="0" xfId="0" applyFont="1" applyProtection="1">
      <alignment vertical="center"/>
      <protection locked="0"/>
    </xf>
    <xf numFmtId="176" fontId="6" fillId="0" borderId="0" xfId="0" applyNumberFormat="1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right" vertical="center"/>
      <protection locked="0"/>
    </xf>
    <xf numFmtId="0" fontId="11" fillId="0" borderId="5" xfId="0" applyFont="1" applyBorder="1" applyProtection="1">
      <alignment vertical="center"/>
      <protection locked="0"/>
    </xf>
  </cellXfs>
  <cellStyles count="5">
    <cellStyle name="パーセント" xfId="1" builtinId="5"/>
    <cellStyle name="ハイパーリンク" xfId="4" builtinId="8"/>
    <cellStyle name="桁区切り" xfId="2" builtinId="6"/>
    <cellStyle name="通貨" xfId="3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342900</xdr:colOff>
      <xdr:row>3</xdr:row>
      <xdr:rowOff>323850</xdr:rowOff>
    </xdr:from>
    <xdr:to>
      <xdr:col>14</xdr:col>
      <xdr:colOff>146050</xdr:colOff>
      <xdr:row>6</xdr:row>
      <xdr:rowOff>177800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C2B93F-CD94-4F7D-84A2-E74291F671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53" t="28741" r="68662" b="61466"/>
        <a:stretch/>
      </xdr:blipFill>
      <xdr:spPr>
        <a:xfrm>
          <a:off x="5600700" y="1209675"/>
          <a:ext cx="679450" cy="67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inya358@hb.tp1.jp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4"/>
  <sheetViews>
    <sheetView showGridLines="0" tabSelected="1" view="pageBreakPreview" topLeftCell="A7" zoomScale="80" zoomScaleNormal="70" zoomScaleSheetLayoutView="80" workbookViewId="0">
      <selection activeCell="A21" sqref="A21"/>
    </sheetView>
  </sheetViews>
  <sheetFormatPr defaultColWidth="5.75" defaultRowHeight="30" customHeight="1"/>
  <cols>
    <col min="22" max="22" width="12.58203125" bestFit="1" customWidth="1"/>
  </cols>
  <sheetData>
    <row r="1" spans="1:23" ht="30" customHeight="1">
      <c r="A1" s="34" t="s">
        <v>30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23" ht="10.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3" ht="30" customHeight="1">
      <c r="A3" s="35" t="s">
        <v>34</v>
      </c>
      <c r="B3" s="35"/>
      <c r="C3" s="35"/>
      <c r="D3" s="35"/>
      <c r="E3" s="35"/>
      <c r="F3" s="35"/>
      <c r="G3" s="35"/>
      <c r="H3" s="36" t="s">
        <v>0</v>
      </c>
      <c r="I3" s="36"/>
      <c r="J3" s="2"/>
      <c r="K3" s="2"/>
      <c r="L3" s="37"/>
      <c r="M3" s="18"/>
      <c r="N3" s="25"/>
      <c r="O3" s="25"/>
      <c r="P3" s="25"/>
      <c r="Q3" s="25"/>
    </row>
    <row r="4" spans="1:23" ht="30" customHeight="1">
      <c r="A4" s="2"/>
      <c r="B4" s="18"/>
      <c r="C4" s="18"/>
      <c r="D4" s="39"/>
      <c r="E4" s="39"/>
      <c r="F4" s="39"/>
      <c r="G4" s="3"/>
      <c r="H4" s="2"/>
      <c r="I4" s="2"/>
      <c r="J4" s="2"/>
      <c r="K4" s="2" t="s">
        <v>33</v>
      </c>
      <c r="L4" s="10"/>
      <c r="M4" s="3"/>
      <c r="N4" s="38">
        <v>46149</v>
      </c>
      <c r="O4" s="38"/>
      <c r="P4" s="38"/>
      <c r="Q4" s="38"/>
    </row>
    <row r="5" spans="1:23" ht="10.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3" ht="25.15" customHeight="1" thickBot="1">
      <c r="A6" s="40" t="s">
        <v>15</v>
      </c>
      <c r="B6" s="40"/>
      <c r="C6" s="41" t="s">
        <v>45</v>
      </c>
      <c r="D6" s="41"/>
      <c r="E6" s="41"/>
      <c r="F6" s="41"/>
      <c r="G6" s="41"/>
      <c r="H6" s="41"/>
      <c r="I6" s="41"/>
      <c r="J6" s="2"/>
      <c r="K6" s="18" t="s">
        <v>29</v>
      </c>
      <c r="L6" s="18"/>
      <c r="M6" s="18"/>
      <c r="N6" s="18"/>
      <c r="O6" s="18"/>
      <c r="P6" s="18"/>
      <c r="Q6" s="18"/>
      <c r="S6" t="s">
        <v>10</v>
      </c>
      <c r="T6" s="1">
        <v>0.08</v>
      </c>
      <c r="V6" s="11" t="s">
        <v>37</v>
      </c>
      <c r="W6" s="11">
        <v>520</v>
      </c>
    </row>
    <row r="7" spans="1:23" ht="19.899999999999999" customHeight="1" thickTop="1">
      <c r="A7" s="2"/>
      <c r="B7" s="37"/>
      <c r="C7" s="18"/>
      <c r="D7" s="18"/>
      <c r="E7" s="18"/>
      <c r="F7" s="18"/>
      <c r="G7" s="18"/>
      <c r="H7" s="18"/>
      <c r="I7" s="18"/>
      <c r="J7" s="18"/>
      <c r="K7" s="18" t="s">
        <v>23</v>
      </c>
      <c r="L7" s="18"/>
      <c r="M7" s="18"/>
      <c r="N7" s="18"/>
      <c r="O7" s="18"/>
      <c r="P7" s="18"/>
      <c r="Q7" s="18"/>
      <c r="S7" t="s">
        <v>9</v>
      </c>
      <c r="V7" s="11" t="s">
        <v>38</v>
      </c>
      <c r="W7" s="11">
        <v>580</v>
      </c>
    </row>
    <row r="8" spans="1:23" ht="19.899999999999999" customHeight="1">
      <c r="A8" s="2" t="s">
        <v>31</v>
      </c>
      <c r="B8" s="2"/>
      <c r="C8" s="2"/>
      <c r="D8" s="2"/>
      <c r="E8" s="2"/>
      <c r="F8" s="2"/>
      <c r="G8" s="2"/>
      <c r="H8" s="2"/>
      <c r="I8" s="2"/>
      <c r="J8" s="2"/>
      <c r="K8" s="18" t="s">
        <v>24</v>
      </c>
      <c r="L8" s="18"/>
      <c r="M8" s="18"/>
      <c r="N8" s="18"/>
      <c r="O8" s="18"/>
      <c r="P8" s="18"/>
      <c r="Q8" s="18"/>
      <c r="S8" t="s">
        <v>11</v>
      </c>
      <c r="V8" s="11" t="s">
        <v>39</v>
      </c>
      <c r="W8" s="11">
        <v>580</v>
      </c>
    </row>
    <row r="9" spans="1:23" ht="19.899999999999999" customHeight="1">
      <c r="A9" s="2"/>
      <c r="B9" s="2" t="s">
        <v>32</v>
      </c>
      <c r="C9" s="2"/>
      <c r="D9" s="2"/>
      <c r="E9" s="2"/>
      <c r="F9" s="2"/>
      <c r="G9" s="2"/>
      <c r="H9" s="2"/>
      <c r="I9" s="2"/>
      <c r="J9" s="2"/>
      <c r="K9" s="18" t="s">
        <v>35</v>
      </c>
      <c r="L9" s="18"/>
      <c r="M9" s="18"/>
      <c r="N9" s="18"/>
      <c r="O9" s="18"/>
      <c r="P9" s="18"/>
      <c r="Q9" s="18"/>
      <c r="S9" t="s">
        <v>12</v>
      </c>
      <c r="V9" s="11" t="s">
        <v>40</v>
      </c>
      <c r="W9" s="11">
        <v>580</v>
      </c>
    </row>
    <row r="10" spans="1:23" ht="19.899999999999999" customHeight="1">
      <c r="A10" s="32" t="s">
        <v>20</v>
      </c>
      <c r="B10" s="32"/>
      <c r="C10" s="33"/>
      <c r="D10" s="33"/>
      <c r="E10" s="33"/>
      <c r="F10" s="33"/>
      <c r="G10" s="33"/>
      <c r="H10" s="33"/>
      <c r="I10" s="33"/>
      <c r="J10" s="2"/>
      <c r="K10" s="25" t="s">
        <v>25</v>
      </c>
      <c r="L10" s="25"/>
      <c r="M10" s="18" t="s">
        <v>26</v>
      </c>
      <c r="N10" s="18"/>
      <c r="O10" s="18"/>
      <c r="P10" s="18"/>
      <c r="Q10" s="18"/>
      <c r="S10" t="s">
        <v>13</v>
      </c>
      <c r="V10" s="11" t="s">
        <v>41</v>
      </c>
      <c r="W10" s="11">
        <v>580</v>
      </c>
    </row>
    <row r="11" spans="1:23" ht="19.899999999999999" customHeight="1">
      <c r="A11" s="32" t="s">
        <v>21</v>
      </c>
      <c r="B11" s="32"/>
      <c r="C11" s="33"/>
      <c r="D11" s="33"/>
      <c r="E11" s="33"/>
      <c r="F11" s="33"/>
      <c r="G11" s="33"/>
      <c r="H11" s="33"/>
      <c r="I11" s="33"/>
      <c r="J11" s="2"/>
      <c r="K11" s="25" t="s">
        <v>1</v>
      </c>
      <c r="L11" s="25"/>
      <c r="M11" s="18" t="s">
        <v>26</v>
      </c>
      <c r="N11" s="18"/>
      <c r="O11" s="18"/>
      <c r="P11" s="18"/>
      <c r="Q11" s="18"/>
      <c r="V11" s="11" t="s">
        <v>42</v>
      </c>
      <c r="W11" s="11">
        <v>580</v>
      </c>
    </row>
    <row r="12" spans="1:23" ht="19.899999999999999" customHeight="1">
      <c r="A12" s="32" t="s">
        <v>22</v>
      </c>
      <c r="B12" s="32"/>
      <c r="C12" s="33"/>
      <c r="D12" s="33"/>
      <c r="E12" s="33"/>
      <c r="F12" s="33"/>
      <c r="G12" s="33"/>
      <c r="H12" s="33"/>
      <c r="I12" s="33"/>
      <c r="J12" s="2"/>
      <c r="K12" s="25" t="s">
        <v>2</v>
      </c>
      <c r="L12" s="25"/>
      <c r="M12" s="31" t="s">
        <v>27</v>
      </c>
      <c r="N12" s="18"/>
      <c r="O12" s="18"/>
      <c r="P12" s="18"/>
      <c r="Q12" s="18"/>
    </row>
    <row r="13" spans="1:23" ht="19.899999999999999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5" t="s">
        <v>3</v>
      </c>
      <c r="L13" s="25"/>
      <c r="M13" s="18" t="s">
        <v>28</v>
      </c>
      <c r="N13" s="18"/>
      <c r="O13" s="18"/>
      <c r="P13" s="18"/>
      <c r="Q13" s="18"/>
    </row>
    <row r="14" spans="1:23" ht="10.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3"/>
      <c r="N14" s="3"/>
      <c r="O14" s="3"/>
      <c r="P14" s="3"/>
      <c r="Q14" s="3"/>
    </row>
    <row r="15" spans="1:23" ht="30" customHeight="1" thickBot="1">
      <c r="A15" s="26" t="s">
        <v>4</v>
      </c>
      <c r="B15" s="26"/>
      <c r="C15" s="26"/>
      <c r="D15" s="27">
        <f>L36</f>
        <v>41580</v>
      </c>
      <c r="E15" s="27"/>
      <c r="F15" s="27"/>
      <c r="G15" s="27"/>
      <c r="H15" s="28" t="s">
        <v>5</v>
      </c>
      <c r="I15" s="28"/>
      <c r="J15" s="25"/>
      <c r="K15" s="25"/>
      <c r="L15" s="25"/>
      <c r="M15" s="29"/>
      <c r="N15" s="29"/>
      <c r="O15" s="29"/>
      <c r="P15" s="29"/>
      <c r="Q15" s="29"/>
    </row>
    <row r="16" spans="1:23" ht="10.15" customHeight="1" thickTop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5.15" customHeight="1">
      <c r="A17" s="9" t="s">
        <v>6</v>
      </c>
      <c r="B17" s="12" t="s">
        <v>19</v>
      </c>
      <c r="C17" s="12"/>
      <c r="D17" s="12"/>
      <c r="E17" s="12"/>
      <c r="F17" s="12"/>
      <c r="G17" s="12"/>
      <c r="H17" s="12"/>
      <c r="I17" s="12"/>
      <c r="J17" s="12" t="s">
        <v>14</v>
      </c>
      <c r="K17" s="12"/>
      <c r="L17" s="12" t="s">
        <v>8</v>
      </c>
      <c r="M17" s="12"/>
      <c r="N17" s="12"/>
      <c r="O17" s="12" t="s">
        <v>7</v>
      </c>
      <c r="P17" s="30"/>
      <c r="Q17" s="30"/>
    </row>
    <row r="18" spans="1:17" ht="19.899999999999999" customHeight="1">
      <c r="A18" s="5" t="s">
        <v>46</v>
      </c>
      <c r="B18" s="20" t="s">
        <v>44</v>
      </c>
      <c r="C18" s="21"/>
      <c r="D18" s="21"/>
      <c r="E18" s="21"/>
      <c r="F18" s="21"/>
      <c r="G18" s="21"/>
      <c r="H18" s="21"/>
      <c r="I18" s="22"/>
      <c r="J18" s="6">
        <v>35</v>
      </c>
      <c r="K18" s="7" t="s">
        <v>47</v>
      </c>
      <c r="L18" s="19">
        <f>IFERROR(VLOOKUP(B18,$V$6:$W$11,2,FALSE),"")</f>
        <v>520</v>
      </c>
      <c r="M18" s="19"/>
      <c r="N18" s="19"/>
      <c r="O18" s="17">
        <f>IF(AND(J18&lt;&gt;"",L18&lt;&gt;""),J18*L18,"")</f>
        <v>18200</v>
      </c>
      <c r="P18" s="17"/>
      <c r="Q18" s="17"/>
    </row>
    <row r="19" spans="1:17" ht="19.899999999999999" customHeight="1">
      <c r="A19" s="5"/>
      <c r="B19" s="20" t="s">
        <v>43</v>
      </c>
      <c r="C19" s="21"/>
      <c r="D19" s="21"/>
      <c r="E19" s="21"/>
      <c r="F19" s="21"/>
      <c r="G19" s="21"/>
      <c r="H19" s="21"/>
      <c r="I19" s="22"/>
      <c r="J19" s="6">
        <v>35</v>
      </c>
      <c r="K19" s="7" t="s">
        <v>47</v>
      </c>
      <c r="L19" s="19">
        <f t="shared" ref="L19:L33" si="0">IFERROR(VLOOKUP(B19,$V$6:$W$11,2,FALSE),"")</f>
        <v>580</v>
      </c>
      <c r="M19" s="19"/>
      <c r="N19" s="19"/>
      <c r="O19" s="17">
        <f>IF(AND(J19&lt;&gt;"",L19&lt;&gt;""),J19*L19,"")</f>
        <v>20300</v>
      </c>
      <c r="P19" s="17"/>
      <c r="Q19" s="17"/>
    </row>
    <row r="20" spans="1:17" ht="19.899999999999999" customHeight="1">
      <c r="A20" s="5"/>
      <c r="B20" s="20"/>
      <c r="C20" s="21"/>
      <c r="D20" s="21"/>
      <c r="E20" s="21"/>
      <c r="F20" s="21"/>
      <c r="G20" s="21"/>
      <c r="H20" s="21"/>
      <c r="I20" s="22"/>
      <c r="J20" s="6"/>
      <c r="K20" s="7"/>
      <c r="L20" s="19" t="str">
        <f t="shared" si="0"/>
        <v/>
      </c>
      <c r="M20" s="19"/>
      <c r="N20" s="19"/>
      <c r="O20" s="17" t="str">
        <f t="shared" ref="O20:O33" si="1">IF(AND(J20&lt;&gt;"",L20&lt;&gt;""),J20*L20,"")</f>
        <v/>
      </c>
      <c r="P20" s="17"/>
      <c r="Q20" s="17"/>
    </row>
    <row r="21" spans="1:17" ht="19.899999999999999" customHeight="1">
      <c r="A21" s="5"/>
      <c r="B21" s="20"/>
      <c r="C21" s="21"/>
      <c r="D21" s="21"/>
      <c r="E21" s="21"/>
      <c r="F21" s="21"/>
      <c r="G21" s="21"/>
      <c r="H21" s="21"/>
      <c r="I21" s="22"/>
      <c r="J21" s="6"/>
      <c r="K21" s="7"/>
      <c r="L21" s="19" t="str">
        <f t="shared" si="0"/>
        <v/>
      </c>
      <c r="M21" s="19"/>
      <c r="N21" s="19"/>
      <c r="O21" s="17" t="str">
        <f t="shared" si="1"/>
        <v/>
      </c>
      <c r="P21" s="17"/>
      <c r="Q21" s="17"/>
    </row>
    <row r="22" spans="1:17" ht="19.899999999999999" customHeight="1">
      <c r="A22" s="5"/>
      <c r="B22" s="20"/>
      <c r="C22" s="21"/>
      <c r="D22" s="21"/>
      <c r="E22" s="21"/>
      <c r="F22" s="21"/>
      <c r="G22" s="21"/>
      <c r="H22" s="21"/>
      <c r="I22" s="22"/>
      <c r="J22" s="6"/>
      <c r="K22" s="7"/>
      <c r="L22" s="19" t="str">
        <f t="shared" si="0"/>
        <v/>
      </c>
      <c r="M22" s="19"/>
      <c r="N22" s="19"/>
      <c r="O22" s="17" t="str">
        <f t="shared" si="1"/>
        <v/>
      </c>
      <c r="P22" s="17"/>
      <c r="Q22" s="17"/>
    </row>
    <row r="23" spans="1:17" ht="19.899999999999999" customHeight="1">
      <c r="A23" s="5"/>
      <c r="B23" s="20"/>
      <c r="C23" s="21"/>
      <c r="D23" s="21"/>
      <c r="E23" s="21"/>
      <c r="F23" s="21"/>
      <c r="G23" s="21"/>
      <c r="H23" s="21"/>
      <c r="I23" s="22"/>
      <c r="J23" s="6"/>
      <c r="K23" s="7"/>
      <c r="L23" s="19" t="str">
        <f t="shared" si="0"/>
        <v/>
      </c>
      <c r="M23" s="19"/>
      <c r="N23" s="19"/>
      <c r="O23" s="17" t="str">
        <f t="shared" si="1"/>
        <v/>
      </c>
      <c r="P23" s="17"/>
      <c r="Q23" s="17"/>
    </row>
    <row r="24" spans="1:17" ht="19.899999999999999" customHeight="1">
      <c r="A24" s="5"/>
      <c r="B24" s="20"/>
      <c r="C24" s="21"/>
      <c r="D24" s="21"/>
      <c r="E24" s="21"/>
      <c r="F24" s="21"/>
      <c r="G24" s="21"/>
      <c r="H24" s="21"/>
      <c r="I24" s="22"/>
      <c r="J24" s="6"/>
      <c r="K24" s="7"/>
      <c r="L24" s="19" t="str">
        <f t="shared" si="0"/>
        <v/>
      </c>
      <c r="M24" s="19"/>
      <c r="N24" s="19"/>
      <c r="O24" s="17" t="str">
        <f t="shared" si="1"/>
        <v/>
      </c>
      <c r="P24" s="17"/>
      <c r="Q24" s="17"/>
    </row>
    <row r="25" spans="1:17" ht="19.899999999999999" customHeight="1">
      <c r="A25" s="5"/>
      <c r="B25" s="20"/>
      <c r="C25" s="21"/>
      <c r="D25" s="21"/>
      <c r="E25" s="21"/>
      <c r="F25" s="21"/>
      <c r="G25" s="21"/>
      <c r="H25" s="21"/>
      <c r="I25" s="22"/>
      <c r="J25" s="6"/>
      <c r="K25" s="7"/>
      <c r="L25" s="19" t="str">
        <f t="shared" si="0"/>
        <v/>
      </c>
      <c r="M25" s="19"/>
      <c r="N25" s="19"/>
      <c r="O25" s="17" t="str">
        <f t="shared" si="1"/>
        <v/>
      </c>
      <c r="P25" s="17"/>
      <c r="Q25" s="17"/>
    </row>
    <row r="26" spans="1:17" ht="19.899999999999999" customHeight="1">
      <c r="A26" s="5"/>
      <c r="B26" s="20"/>
      <c r="C26" s="21"/>
      <c r="D26" s="21"/>
      <c r="E26" s="21"/>
      <c r="F26" s="21"/>
      <c r="G26" s="21"/>
      <c r="H26" s="21"/>
      <c r="I26" s="22"/>
      <c r="J26" s="6"/>
      <c r="K26" s="7"/>
      <c r="L26" s="19" t="str">
        <f t="shared" si="0"/>
        <v/>
      </c>
      <c r="M26" s="19"/>
      <c r="N26" s="19"/>
      <c r="O26" s="17" t="str">
        <f t="shared" si="1"/>
        <v/>
      </c>
      <c r="P26" s="17"/>
      <c r="Q26" s="17"/>
    </row>
    <row r="27" spans="1:17" ht="19.899999999999999" customHeight="1">
      <c r="A27" s="5"/>
      <c r="B27" s="20"/>
      <c r="C27" s="21"/>
      <c r="D27" s="21"/>
      <c r="E27" s="21"/>
      <c r="F27" s="21"/>
      <c r="G27" s="21"/>
      <c r="H27" s="21"/>
      <c r="I27" s="22"/>
      <c r="J27" s="6"/>
      <c r="K27" s="7"/>
      <c r="L27" s="19" t="str">
        <f t="shared" si="0"/>
        <v/>
      </c>
      <c r="M27" s="19"/>
      <c r="N27" s="19"/>
      <c r="O27" s="17" t="str">
        <f t="shared" ref="O27:O30" si="2">IF(AND(J27&lt;&gt;"",L27&lt;&gt;""),J27*L27,"")</f>
        <v/>
      </c>
      <c r="P27" s="17"/>
      <c r="Q27" s="17"/>
    </row>
    <row r="28" spans="1:17" ht="19.899999999999999" customHeight="1">
      <c r="A28" s="5"/>
      <c r="B28" s="20"/>
      <c r="C28" s="21"/>
      <c r="D28" s="21"/>
      <c r="E28" s="21"/>
      <c r="F28" s="21"/>
      <c r="G28" s="21"/>
      <c r="H28" s="21"/>
      <c r="I28" s="22"/>
      <c r="J28" s="6"/>
      <c r="K28" s="7"/>
      <c r="L28" s="19" t="str">
        <f t="shared" si="0"/>
        <v/>
      </c>
      <c r="M28" s="19"/>
      <c r="N28" s="19"/>
      <c r="O28" s="17" t="str">
        <f t="shared" si="2"/>
        <v/>
      </c>
      <c r="P28" s="17"/>
      <c r="Q28" s="17"/>
    </row>
    <row r="29" spans="1:17" ht="19.899999999999999" customHeight="1">
      <c r="A29" s="5"/>
      <c r="B29" s="20"/>
      <c r="C29" s="21"/>
      <c r="D29" s="21"/>
      <c r="E29" s="21"/>
      <c r="F29" s="21"/>
      <c r="G29" s="21"/>
      <c r="H29" s="21"/>
      <c r="I29" s="22"/>
      <c r="J29" s="6"/>
      <c r="K29" s="7"/>
      <c r="L29" s="19" t="str">
        <f t="shared" si="0"/>
        <v/>
      </c>
      <c r="M29" s="19"/>
      <c r="N29" s="19"/>
      <c r="O29" s="17" t="str">
        <f t="shared" si="2"/>
        <v/>
      </c>
      <c r="P29" s="17"/>
      <c r="Q29" s="17"/>
    </row>
    <row r="30" spans="1:17" ht="19.899999999999999" customHeight="1">
      <c r="A30" s="5"/>
      <c r="B30" s="20"/>
      <c r="C30" s="21"/>
      <c r="D30" s="21"/>
      <c r="E30" s="21"/>
      <c r="F30" s="21"/>
      <c r="G30" s="21"/>
      <c r="H30" s="21"/>
      <c r="I30" s="22"/>
      <c r="J30" s="6"/>
      <c r="K30" s="7"/>
      <c r="L30" s="19" t="str">
        <f t="shared" si="0"/>
        <v/>
      </c>
      <c r="M30" s="19"/>
      <c r="N30" s="19"/>
      <c r="O30" s="17" t="str">
        <f t="shared" si="2"/>
        <v/>
      </c>
      <c r="P30" s="17"/>
      <c r="Q30" s="17"/>
    </row>
    <row r="31" spans="1:17" ht="19.899999999999999" customHeight="1">
      <c r="A31" s="5"/>
      <c r="B31" s="20"/>
      <c r="C31" s="21"/>
      <c r="D31" s="21"/>
      <c r="E31" s="21"/>
      <c r="F31" s="21"/>
      <c r="G31" s="21"/>
      <c r="H31" s="21"/>
      <c r="I31" s="22"/>
      <c r="J31" s="6"/>
      <c r="K31" s="7"/>
      <c r="L31" s="19" t="str">
        <f t="shared" si="0"/>
        <v/>
      </c>
      <c r="M31" s="19"/>
      <c r="N31" s="19"/>
      <c r="O31" s="17" t="str">
        <f t="shared" si="1"/>
        <v/>
      </c>
      <c r="P31" s="17"/>
      <c r="Q31" s="17"/>
    </row>
    <row r="32" spans="1:17" ht="19.899999999999999" customHeight="1">
      <c r="A32" s="5"/>
      <c r="B32" s="20"/>
      <c r="C32" s="21"/>
      <c r="D32" s="21"/>
      <c r="E32" s="21"/>
      <c r="F32" s="21"/>
      <c r="G32" s="21"/>
      <c r="H32" s="21"/>
      <c r="I32" s="22"/>
      <c r="J32" s="6"/>
      <c r="K32" s="7"/>
      <c r="L32" s="19" t="str">
        <f t="shared" si="0"/>
        <v/>
      </c>
      <c r="M32" s="19"/>
      <c r="N32" s="19"/>
      <c r="O32" s="17" t="str">
        <f t="shared" si="1"/>
        <v/>
      </c>
      <c r="P32" s="17"/>
      <c r="Q32" s="17"/>
    </row>
    <row r="33" spans="1:17" ht="19.899999999999999" customHeight="1">
      <c r="A33" s="5"/>
      <c r="B33" s="20"/>
      <c r="C33" s="21"/>
      <c r="D33" s="21"/>
      <c r="E33" s="21"/>
      <c r="F33" s="21"/>
      <c r="G33" s="21"/>
      <c r="H33" s="21"/>
      <c r="I33" s="22"/>
      <c r="J33" s="6"/>
      <c r="K33" s="7"/>
      <c r="L33" s="19" t="str">
        <f t="shared" si="0"/>
        <v/>
      </c>
      <c r="M33" s="19"/>
      <c r="N33" s="19"/>
      <c r="O33" s="17" t="str">
        <f t="shared" si="1"/>
        <v/>
      </c>
      <c r="P33" s="17"/>
      <c r="Q33" s="17"/>
    </row>
    <row r="34" spans="1:17" ht="19.899999999999999" customHeight="1">
      <c r="A34" s="3"/>
      <c r="B34" s="3"/>
      <c r="C34" s="3"/>
      <c r="D34" s="3"/>
      <c r="E34" s="3"/>
      <c r="F34" s="3"/>
      <c r="G34" s="3"/>
      <c r="H34" s="3"/>
      <c r="I34" s="3"/>
      <c r="J34" s="12" t="s">
        <v>16</v>
      </c>
      <c r="K34" s="12"/>
      <c r="L34" s="23">
        <f>SUM(O18:Q33)</f>
        <v>38500</v>
      </c>
      <c r="M34" s="24"/>
      <c r="N34" s="24"/>
      <c r="O34" s="24"/>
      <c r="P34" s="24"/>
      <c r="Q34" s="24"/>
    </row>
    <row r="35" spans="1:17" ht="19.899999999999999" customHeight="1">
      <c r="A35" s="3"/>
      <c r="B35" s="3"/>
      <c r="C35" s="3"/>
      <c r="D35" s="3"/>
      <c r="E35" s="3"/>
      <c r="F35" s="3"/>
      <c r="G35" s="3"/>
      <c r="H35" s="3"/>
      <c r="I35" s="3"/>
      <c r="J35" s="12" t="s">
        <v>36</v>
      </c>
      <c r="K35" s="12"/>
      <c r="L35" s="17">
        <f>L34*0.08</f>
        <v>3080</v>
      </c>
      <c r="M35" s="17"/>
      <c r="N35" s="17"/>
      <c r="O35" s="17"/>
      <c r="P35" s="17"/>
      <c r="Q35" s="17"/>
    </row>
    <row r="36" spans="1:17" ht="19.899999999999999" customHeight="1">
      <c r="A36" s="3"/>
      <c r="B36" s="18"/>
      <c r="C36" s="18"/>
      <c r="D36" s="18"/>
      <c r="E36" s="18"/>
      <c r="F36" s="18"/>
      <c r="G36" s="3"/>
      <c r="H36" s="3"/>
      <c r="I36" s="3"/>
      <c r="J36" s="12" t="s">
        <v>17</v>
      </c>
      <c r="K36" s="12"/>
      <c r="L36" s="16">
        <f>L34+L35</f>
        <v>41580</v>
      </c>
      <c r="M36" s="16"/>
      <c r="N36" s="16"/>
      <c r="O36" s="16"/>
      <c r="P36" s="16"/>
      <c r="Q36" s="16"/>
    </row>
    <row r="37" spans="1:17" ht="19.899999999999999" customHeight="1">
      <c r="A37" s="3"/>
      <c r="B37" s="14"/>
      <c r="C37" s="15"/>
      <c r="D37" s="15"/>
      <c r="E37" s="15"/>
      <c r="F37" s="1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9.899999999999999" customHeight="1">
      <c r="A38" s="12" t="s">
        <v>18</v>
      </c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ht="19.899999999999999" customHeight="1">
      <c r="A39" s="12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19.899999999999999" customHeight="1">
      <c r="A40" s="12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ht="19.899999999999999" customHeight="1">
      <c r="A41" s="12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s="3" customFormat="1" ht="19.899999999999999" customHeight="1">
      <c r="A42" s="8"/>
    </row>
    <row r="43" spans="1:17" s="3" customFormat="1" ht="19.899999999999999" customHeight="1">
      <c r="A43" s="8"/>
    </row>
    <row r="44" spans="1:17" s="3" customFormat="1" ht="19.899999999999999" customHeight="1">
      <c r="A44" s="8"/>
    </row>
  </sheetData>
  <mergeCells count="96">
    <mergeCell ref="B23:I23"/>
    <mergeCell ref="B18:I18"/>
    <mergeCell ref="B19:I19"/>
    <mergeCell ref="B20:I20"/>
    <mergeCell ref="B21:I21"/>
    <mergeCell ref="B22:I22"/>
    <mergeCell ref="O27:Q27"/>
    <mergeCell ref="O28:Q28"/>
    <mergeCell ref="O29:Q29"/>
    <mergeCell ref="O30:Q30"/>
    <mergeCell ref="B27:I27"/>
    <mergeCell ref="B28:I28"/>
    <mergeCell ref="B29:I29"/>
    <mergeCell ref="B30:I30"/>
    <mergeCell ref="A1:Q1"/>
    <mergeCell ref="A3:G3"/>
    <mergeCell ref="H3:I3"/>
    <mergeCell ref="L3:M3"/>
    <mergeCell ref="K8:Q8"/>
    <mergeCell ref="N3:Q3"/>
    <mergeCell ref="N4:Q4"/>
    <mergeCell ref="B4:C4"/>
    <mergeCell ref="D4:F4"/>
    <mergeCell ref="K6:Q6"/>
    <mergeCell ref="K7:Q7"/>
    <mergeCell ref="A6:B6"/>
    <mergeCell ref="C6:I6"/>
    <mergeCell ref="B7:J7"/>
    <mergeCell ref="K12:L12"/>
    <mergeCell ref="M12:Q12"/>
    <mergeCell ref="A10:B10"/>
    <mergeCell ref="C10:I10"/>
    <mergeCell ref="A11:B11"/>
    <mergeCell ref="C11:I11"/>
    <mergeCell ref="A12:B12"/>
    <mergeCell ref="C12:I12"/>
    <mergeCell ref="K9:Q9"/>
    <mergeCell ref="K10:L10"/>
    <mergeCell ref="M10:Q10"/>
    <mergeCell ref="K11:L11"/>
    <mergeCell ref="M11:Q11"/>
    <mergeCell ref="A15:C15"/>
    <mergeCell ref="D15:G15"/>
    <mergeCell ref="H15:I15"/>
    <mergeCell ref="L17:N17"/>
    <mergeCell ref="M13:Q13"/>
    <mergeCell ref="J15:L15"/>
    <mergeCell ref="M15:Q15"/>
    <mergeCell ref="O17:Q17"/>
    <mergeCell ref="B17:I17"/>
    <mergeCell ref="J17:K17"/>
    <mergeCell ref="O25:Q25"/>
    <mergeCell ref="O26:Q26"/>
    <mergeCell ref="O31:Q31"/>
    <mergeCell ref="O32:Q32"/>
    <mergeCell ref="K13:L13"/>
    <mergeCell ref="L22:N22"/>
    <mergeCell ref="O18:Q18"/>
    <mergeCell ref="L18:N18"/>
    <mergeCell ref="O19:Q19"/>
    <mergeCell ref="O20:Q20"/>
    <mergeCell ref="O21:Q21"/>
    <mergeCell ref="L19:N19"/>
    <mergeCell ref="L20:N20"/>
    <mergeCell ref="O22:Q22"/>
    <mergeCell ref="L21:N21"/>
    <mergeCell ref="L27:N27"/>
    <mergeCell ref="L25:N25"/>
    <mergeCell ref="L26:N26"/>
    <mergeCell ref="L31:N31"/>
    <mergeCell ref="L32:N32"/>
    <mergeCell ref="J34:K34"/>
    <mergeCell ref="L28:N28"/>
    <mergeCell ref="L29:N29"/>
    <mergeCell ref="L30:N30"/>
    <mergeCell ref="O33:Q33"/>
    <mergeCell ref="B36:F36"/>
    <mergeCell ref="L23:N23"/>
    <mergeCell ref="B25:I25"/>
    <mergeCell ref="B26:I26"/>
    <mergeCell ref="B31:I31"/>
    <mergeCell ref="B32:I32"/>
    <mergeCell ref="B33:I33"/>
    <mergeCell ref="B24:I24"/>
    <mergeCell ref="J35:K35"/>
    <mergeCell ref="L34:Q34"/>
    <mergeCell ref="L35:Q35"/>
    <mergeCell ref="O23:Q23"/>
    <mergeCell ref="O24:Q24"/>
    <mergeCell ref="L24:N24"/>
    <mergeCell ref="L33:N33"/>
    <mergeCell ref="A38:B41"/>
    <mergeCell ref="C38:Q41"/>
    <mergeCell ref="B37:F37"/>
    <mergeCell ref="L36:Q36"/>
    <mergeCell ref="J36:K36"/>
  </mergeCells>
  <phoneticPr fontId="3"/>
  <dataValidations count="2">
    <dataValidation type="list" allowBlank="1" showInputMessage="1" showErrorMessage="1" sqref="K18:K33" xr:uid="{00000000-0002-0000-0000-000000000000}">
      <formula1>$S$6:$S$10</formula1>
    </dataValidation>
    <dataValidation type="list" errorStyle="information" allowBlank="1" showInputMessage="1" showErrorMessage="1" sqref="B18:I33" xr:uid="{D0A90BC7-D697-49A6-ABAD-81EB055E79EB}">
      <formula1>$V$6:$V$11</formula1>
    </dataValidation>
  </dataValidations>
  <hyperlinks>
    <hyperlink ref="M12" r:id="rId1" xr:uid="{BCE189E0-AFAF-4639-B7CC-2909B168891C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87" orientation="portrait" horizontalDpi="4294967293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</vt:lpstr>
      <vt:lpstr>見積書!Print_Area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2016-01-22T04:05:00Z</cp:lastPrinted>
  <dcterms:created xsi:type="dcterms:W3CDTF">2015-12-21T00:50:44Z</dcterms:created>
  <dcterms:modified xsi:type="dcterms:W3CDTF">2026-05-07T07:21:42Z</dcterms:modified>
  <cp:category/>
</cp:coreProperties>
</file>